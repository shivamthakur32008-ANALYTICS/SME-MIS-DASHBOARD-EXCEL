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8ED3192B30C47D9/Documents/"/>
    </mc:Choice>
  </mc:AlternateContent>
  <xr:revisionPtr revIDLastSave="302" documentId="8_{9FF5CFE7-BDEA-4D2A-A044-AD198D4BFCA7}" xr6:coauthVersionLast="47" xr6:coauthVersionMax="47" xr10:uidLastSave="{516FA376-9725-492B-A7BC-A5AF4036AA9D}"/>
  <bookViews>
    <workbookView xWindow="-108" yWindow="-108" windowWidth="23256" windowHeight="13176" activeTab="2" xr2:uid="{D3F36682-D805-4E9D-B49A-91DE951FDFFF}"/>
  </bookViews>
  <sheets>
    <sheet name="Data" sheetId="1" r:id="rId1"/>
    <sheet name="Category" sheetId="2" r:id="rId2"/>
    <sheet name="Dashboard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4" l="1"/>
  <c r="H3" i="4"/>
  <c r="F3" i="4"/>
  <c r="D3" i="4"/>
</calcChain>
</file>

<file path=xl/sharedStrings.xml><?xml version="1.0" encoding="utf-8"?>
<sst xmlns="http://schemas.openxmlformats.org/spreadsheetml/2006/main" count="30" uniqueCount="30">
  <si>
    <t>Month</t>
  </si>
  <si>
    <t>Revenue</t>
  </si>
  <si>
    <t>Profit</t>
  </si>
  <si>
    <t>Expenses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</si>
  <si>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</si>
  <si>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</si>
  <si>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</si>
  <si>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</si>
  <si>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</si>
  <si>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</si>
  <si>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</si>
  <si>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</si>
  <si>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</si>
  <si>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</si>
  <si>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</si>
  <si>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</si>
  <si>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Category</t>
  </si>
  <si>
    <t>Amount</t>
  </si>
  <si>
    <t>Saleries</t>
  </si>
  <si>
    <t>Rent</t>
  </si>
  <si>
    <t>Marketing</t>
  </si>
  <si>
    <t>Operations</t>
  </si>
  <si>
    <t>Utilities</t>
  </si>
  <si>
    <t>Misc</t>
  </si>
  <si>
    <t>Total revenue</t>
  </si>
  <si>
    <t>Total Expense</t>
  </si>
  <si>
    <t xml:space="preserve">Net Profit </t>
  </si>
  <si>
    <t>Best Month</t>
  </si>
  <si>
    <t>SME Financial MIS Dashboard — FY 2026</t>
  </si>
  <si>
    <t>Built by Shivam | B.Com Banking &amp; Finance | Shimla, 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</si>
</sst>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3" tint="0.499984740745262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NumberFormat="1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EEA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Monthly</a:t>
            </a:r>
            <a:r>
              <a:rPr lang="en-IN" b="1" baseline="0">
                <a:solidFill>
                  <a:schemeClr val="tx1"/>
                </a:solidFill>
              </a:rPr>
              <a:t> Revenue vs Expenses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546981627296588"/>
          <c:y val="0.17171296296296298"/>
          <c:w val="0.85230796150481192"/>
          <c:h val="0.61535469524642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Data!$B$2:$B$13</c:f>
              <c:numCache>
                <c:formatCode>General</c:formatCode>
                <c:ptCount val="12"/>
                <c:pt idx="0">
                  <c:v>450000</c:v>
                </c:pt>
                <c:pt idx="1">
                  <c:v>480000</c:v>
                </c:pt>
                <c:pt idx="2">
                  <c:v>420000</c:v>
                </c:pt>
                <c:pt idx="3">
                  <c:v>510000</c:v>
                </c:pt>
                <c:pt idx="4">
                  <c:v>490000</c:v>
                </c:pt>
                <c:pt idx="5">
                  <c:v>530000</c:v>
                </c:pt>
                <c:pt idx="6">
                  <c:v>475000</c:v>
                </c:pt>
                <c:pt idx="7">
                  <c:v>520000</c:v>
                </c:pt>
                <c:pt idx="8">
                  <c:v>560000</c:v>
                </c:pt>
                <c:pt idx="9">
                  <c:v>540000</c:v>
                </c:pt>
                <c:pt idx="10">
                  <c:v>580000</c:v>
                </c:pt>
                <c:pt idx="11">
                  <c:v>620000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6D-4A9B-922C-B3DAFD76F4CE}"/>
            </c:ext>
          </c:extLst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Expenses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Data!$A$2:$A$13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Data!$C$2:$C$13</c:f>
              <c:numCache>
                <c:formatCode>General</c:formatCode>
                <c:ptCount val="12"/>
                <c:pt idx="0">
                  <c:v>320000</c:v>
                </c:pt>
                <c:pt idx="1">
                  <c:v>340000</c:v>
                </c:pt>
                <c:pt idx="2">
                  <c:v>310000</c:v>
                </c:pt>
                <c:pt idx="3">
                  <c:v>360000</c:v>
                </c:pt>
                <c:pt idx="4">
                  <c:v>350000</c:v>
                </c:pt>
                <c:pt idx="5">
                  <c:v>370000</c:v>
                </c:pt>
                <c:pt idx="6">
                  <c:v>345000</c:v>
                </c:pt>
                <c:pt idx="7">
                  <c:v>365000</c:v>
                </c:pt>
                <c:pt idx="8">
                  <c:v>385000</c:v>
                </c:pt>
                <c:pt idx="9">
                  <c:v>375000</c:v>
                </c:pt>
                <c:pt idx="10">
                  <c:v>400000</c:v>
                </c:pt>
                <c:pt idx="11">
                  <c:v>420000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6D-4A9B-922C-B3DAFD76F4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8474879"/>
        <c:axId val="1097870351"/>
      </c:barChart>
      <c:catAx>
        <c:axId val="2078474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870351"/>
        <c:crosses val="autoZero"/>
        <c:auto val="1"/>
        <c:lblAlgn val="ctr"/>
        <c:lblOffset val="100"/>
        <c:noMultiLvlLbl val="0"/>
      </c:catAx>
      <c:valAx>
        <c:axId val="1097870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474879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layout>
        <c:manualLayout>
          <c:xMode val="edge"/>
          <c:yMode val="edge"/>
          <c:x val="0.69741666666666668"/>
          <c:y val="0.89409667541557303"/>
          <c:w val="0.28294422572178479"/>
          <c:h val="7.812554680664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Monthly Profit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Data!$D$1</c:f>
              <c:strCache>
                <c:ptCount val="1"/>
                <c:pt idx="0">
                  <c:v>Profit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Data!$A$2:$A$13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Data!$D$2:$D$13</c:f>
              <c:numCache>
                <c:formatCode>General</c:formatCode>
                <c:ptCount val="12"/>
                <c:pt idx="0">
                  <c:v>130000</c:v>
                </c:pt>
                <c:pt idx="1">
                  <c:v>140000</c:v>
                </c:pt>
                <c:pt idx="2">
                  <c:v>110000</c:v>
                </c:pt>
                <c:pt idx="3">
                  <c:v>150000</c:v>
                </c:pt>
                <c:pt idx="4">
                  <c:v>140000</c:v>
                </c:pt>
                <c:pt idx="5">
                  <c:v>160000</c:v>
                </c:pt>
                <c:pt idx="6">
                  <c:v>130000</c:v>
                </c:pt>
                <c:pt idx="7">
                  <c:v>155000</c:v>
                </c:pt>
                <c:pt idx="8">
                  <c:v>175000</c:v>
                </c:pt>
                <c:pt idx="9">
                  <c:v>165000</c:v>
                </c:pt>
                <c:pt idx="10">
                  <c:v>180000</c:v>
                </c:pt>
                <c:pt idx="11">
                  <c:v>200000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E3-4443-9FEB-95C84A6B8D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0158847"/>
        <c:axId val="1097870831"/>
      </c:lineChart>
      <c:catAx>
        <c:axId val="1110158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870831"/>
        <c:crosses val="autoZero"/>
        <c:auto val="1"/>
        <c:lblAlgn val="ctr"/>
        <c:lblOffset val="100"/>
        <c:noMultiLvlLbl val="0"/>
      </c:catAx>
      <c:valAx>
        <c:axId val="1097870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158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solidFill>
                  <a:schemeClr val="tx1"/>
                </a:solidFill>
              </a:rPr>
              <a:t>Expense Breakdown</a:t>
            </a:r>
            <a:r>
              <a:rPr lang="en-US" sz="1400" baseline="0">
                <a:solidFill>
                  <a:schemeClr val="tx1"/>
                </a:solidFill>
              </a:rPr>
              <a:t> by Category</a:t>
            </a:r>
            <a:r>
              <a:rPr lang="en-US" sz="1400">
                <a:solidFill>
                  <a:schemeClr val="tx1"/>
                </a:solidFill>
              </a:rPr>
              <a:t> </a:t>
            </a:r>
          </a:p>
        </c:rich>
      </c:tx>
      <c:layout>
        <c:manualLayout>
          <c:xMode val="edge"/>
          <c:yMode val="edge"/>
          <c:x val="0.20140452076258827"/>
          <c:y val="2.79642058165548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Category!$B$1</c:f>
              <c:strCache>
                <c:ptCount val="1"/>
                <c:pt idx="0">
                  <c:v>Amount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D95-4495-88CE-43F58F44CE3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D95-4495-88CE-43F58F44CE3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D95-4495-88CE-43F58F44CE3D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D95-4495-88CE-43F58F44CE3D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ED95-4495-88CE-43F58F44CE3D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ED95-4495-88CE-43F58F44CE3D}"/>
              </c:ext>
            </c:extLst>
          </c:dPt>
          <c:cat>
            <c:strRef>
              <c:f>Category!$A$2:$A$7</c:f>
              <c:strCache>
                <c:ptCount val="6"/>
                <c:pt idx="0">
                  <c:v>Saleries</c:v>
                </c:pt>
                <c:pt idx="1">
                  <c:v>Rent</c:v>
                </c:pt>
                <c:pt idx="2">
                  <c:v>Marketing</c:v>
                </c:pt>
                <c:pt idx="3">
                  <c:v>Operations</c:v>
                </c:pt>
                <c:pt idx="4">
                  <c:v>Utilities</c:v>
                </c:pt>
                <c:pt idx="5">
                  <c:v>Misc</c:v>
                </c:pt>
              </c:strCache>
            </c:strRef>
          </c:cat>
          <c:val>
            <c:numRef>
              <c:f>Category!$B$2:$B$7</c:f>
              <c:numCache>
                <c:formatCode>General</c:formatCode>
                <c:ptCount val="6"/>
                <c:pt idx="0">
                  <c:v>145000</c:v>
                </c:pt>
                <c:pt idx="1">
                  <c:v>45000</c:v>
                </c:pt>
                <c:pt idx="2">
                  <c:v>38000</c:v>
                </c:pt>
                <c:pt idx="3">
                  <c:v>520000</c:v>
                </c:pt>
                <c:pt idx="4">
                  <c:v>22000</c:v>
                </c:pt>
                <c:pt idx="5">
                  <c:v>18000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D95-4495-88CE-43F58F44C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342900</xdr:colOff>
      <xdr:row>7</xdr:row>
      <xdr:rowOff>91440</xdr:rowOff>
    </xdr:from>
    <xdr:to>
      <xdr:col>4</xdr:col>
      <xdr:colOff>419100</xdr:colOff>
      <xdr:row>20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FFB3F0-54F2-4EEE-93EB-D398EBAFE9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358140</xdr:colOff>
      <xdr:row>21</xdr:row>
      <xdr:rowOff>22860</xdr:rowOff>
    </xdr:from>
    <xdr:to>
      <xdr:col>8</xdr:col>
      <xdr:colOff>548640</xdr:colOff>
      <xdr:row>33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354DB35-C2B8-4164-9C1E-F8888384A8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167640</xdr:colOff>
      <xdr:row>7</xdr:row>
      <xdr:rowOff>99060</xdr:rowOff>
    </xdr:from>
    <xdr:to>
      <xdr:col>8</xdr:col>
      <xdr:colOff>502920</xdr:colOff>
      <xdr:row>19</xdr:row>
      <xdr:rowOff>175260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A445E2D-7064-40E9-9E41-FD72DBBD2A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606334</xdr:colOff>
      <xdr:row>2</xdr:row>
      <xdr:rowOff>26125</xdr:rowOff>
    </xdr:from>
    <xdr:to>
      <xdr:col>1</xdr:col>
      <xdr:colOff>1531620</xdr:colOff>
      <xdr:row>6</xdr:row>
      <xdr:rowOff>41365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90FFF141-122A-C78F-9583-2716516A2146}"/>
            </a:ext>
          </a:extLst>
        </xdr:cNvPr>
        <xdr:cNvSpPr/>
      </xdr:nvSpPr>
      <xdr:spPr>
        <a:xfrm>
          <a:off x="606334" y="809896"/>
          <a:ext cx="1534886" cy="755469"/>
        </a:xfrm>
        <a:prstGeom prst="rect">
          <a:avLst/>
        </a:prstGeom>
        <a:solidFill>
          <a:srgbClr val="DEEAF1"/>
        </a:solidFill>
        <a:ln>
          <a:solidFill>
            <a:schemeClr val="accent1">
              <a:shade val="1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>
              <a:solidFill>
                <a:schemeClr val="tx1"/>
              </a:solidFill>
            </a:rPr>
            <a:t>₹</a:t>
          </a:r>
          <a:r>
            <a:rPr lang="en-IN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61,75,000</a:t>
          </a:r>
          <a:endParaRPr lang="en-IN" sz="20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7620</xdr:colOff>
      <xdr:row>2</xdr:row>
      <xdr:rowOff>26125</xdr:rowOff>
    </xdr:from>
    <xdr:to>
      <xdr:col>6</xdr:col>
      <xdr:colOff>3265</xdr:colOff>
      <xdr:row>6</xdr:row>
      <xdr:rowOff>41365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F9589333-EDCD-3F81-B6C5-987CF28D50B9}"/>
            </a:ext>
          </a:extLst>
        </xdr:cNvPr>
        <xdr:cNvSpPr/>
      </xdr:nvSpPr>
      <xdr:spPr>
        <a:xfrm>
          <a:off x="4263934" y="809896"/>
          <a:ext cx="1508760" cy="755469"/>
        </a:xfrm>
        <a:prstGeom prst="rect">
          <a:avLst/>
        </a:prstGeom>
        <a:solidFill>
          <a:srgbClr val="DEEAF1"/>
        </a:solidFill>
        <a:ln>
          <a:solidFill>
            <a:schemeClr val="accent1">
              <a:shade val="1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>
              <a:solidFill>
                <a:schemeClr val="tx1"/>
              </a:solidFill>
            </a:rPr>
            <a:t>₹</a:t>
          </a:r>
          <a:r>
            <a:rPr lang="en-IN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18,35,000</a:t>
          </a:r>
          <a:endParaRPr lang="en-IN" sz="20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1</xdr:colOff>
      <xdr:row>2</xdr:row>
      <xdr:rowOff>21771</xdr:rowOff>
    </xdr:from>
    <xdr:to>
      <xdr:col>8</xdr:col>
      <xdr:colOff>1</xdr:colOff>
      <xdr:row>6</xdr:row>
      <xdr:rowOff>37011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A0CB6D3C-B6BF-0610-A793-DDFFF1BAE2A2}"/>
            </a:ext>
          </a:extLst>
        </xdr:cNvPr>
        <xdr:cNvSpPr/>
      </xdr:nvSpPr>
      <xdr:spPr>
        <a:xfrm>
          <a:off x="6008915" y="751114"/>
          <a:ext cx="1502229" cy="755468"/>
        </a:xfrm>
        <a:prstGeom prst="rect">
          <a:avLst/>
        </a:prstGeom>
        <a:solidFill>
          <a:srgbClr val="DEEAF1"/>
        </a:solidFill>
        <a:ln>
          <a:solidFill>
            <a:schemeClr val="accent1">
              <a:shade val="1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DEC</a:t>
          </a:r>
          <a:endParaRPr lang="en-IN" sz="20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10887</xdr:colOff>
      <xdr:row>2</xdr:row>
      <xdr:rowOff>5443</xdr:rowOff>
    </xdr:from>
    <xdr:to>
      <xdr:col>4</xdr:col>
      <xdr:colOff>0</xdr:colOff>
      <xdr:row>6</xdr:row>
      <xdr:rowOff>44267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5ADB7DB3-6CE6-157B-CC44-40A16D5EEBCC}"/>
            </a:ext>
          </a:extLst>
        </xdr:cNvPr>
        <xdr:cNvSpPr/>
      </xdr:nvSpPr>
      <xdr:spPr>
        <a:xfrm>
          <a:off x="2460173" y="789214"/>
          <a:ext cx="1480456" cy="779053"/>
        </a:xfrm>
        <a:prstGeom prst="rect">
          <a:avLst/>
        </a:prstGeom>
        <a:solidFill>
          <a:srgbClr val="DEEAF1"/>
        </a:solidFill>
        <a:ln>
          <a:solidFill>
            <a:schemeClr val="accent1">
              <a:shade val="1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>
              <a:solidFill>
                <a:schemeClr val="tx1"/>
              </a:solidFill>
            </a:rPr>
            <a:t>₹</a:t>
          </a:r>
          <a:r>
            <a:rPr lang="en-IN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43,34,000</a:t>
          </a:r>
          <a:endParaRPr lang="en-IN" sz="2000">
            <a:solidFill>
              <a:schemeClr val="tx1"/>
            </a:solidFill>
          </a:endParaRPr>
        </a:p>
      </xdr:txBody>
    </xdr:sp>
    <xdr:clientData/>
  </xdr:twoCellAnchor>
  <xdr:oneCellAnchor>
    <xdr:from>
      <xdr:col>14</xdr:col>
      <xdr:colOff>413657</xdr:colOff>
      <xdr:row>8</xdr:row>
      <xdr:rowOff>108857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41C52622-4D45-7FCE-38AB-97B072B53671}"/>
            </a:ext>
          </a:extLst>
        </xdr:cNvPr>
        <xdr:cNvSpPr txBox="1"/>
      </xdr:nvSpPr>
      <xdr:spPr>
        <a:xfrm>
          <a:off x="11582400" y="1600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B174DC-D345-4881-8FDC-599CF1B39AAC}" name="Table2" displayName="Table2" ref="A1:D13" totalsRowShown="0">
  <autoFilter ref="A1:D13" xr:uid="{37B174DC-D345-4881-8FDC-599CF1B39AAC}"/>
  <tableColumns count="4">
    <tableColumn id="1" xr3:uid="{864679F7-DB45-4848-8598-36C308F6E1AB}" name="Month"/>
    <tableColumn id="2" xr3:uid="{05F0332D-E629-4E68-B7D3-1D965373BA2B}" name="Revenue"/>
    <tableColumn id="3" xr3:uid="{EA197020-7AC2-4C15-8A35-EDA596FA5DE6}" name="Expenses"/>
    <tableColumn id="4" xr3:uid="{B4C79237-F6BD-4CFD-9A0E-0751886223CC}" name="Profit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E8EDBD2-9519-4665-BC14-738EF612ABFD}" name="Table3" displayName="Table3" ref="A1:B7" totalsRowShown="0">
  <autoFilter ref="A1:B7" xr:uid="{3E8EDBD2-9519-4665-BC14-738EF612ABFD}"/>
  <tableColumns count="2">
    <tableColumn id="1" xr3:uid="{D5D55737-BE82-4DF9-BF9C-87B9DBBA4FF6}" name="Category"/>
    <tableColumn id="2" xr3:uid="{904B4041-E53A-4B9E-A6AB-FF6565E0E108}" name="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A9946-EA34-4BC6-9F25-8AC0133A5502}">
  <dimension ref="A1:D13"/>
  <sheetViews>
    <sheetView zoomScale="190" zoomScaleNormal="190" workbookViewId="0">
      <selection activeCell="H11" sqref="H11"/>
    </sheetView>
  </sheetViews>
  <sheetFormatPr defaultRowHeight="14.4" x14ac:dyDescent="0.3"/>
  <cols>
    <col min="2" max="2" width="9.77734375" customWidth="1"/>
    <col min="3" max="3" width="10.44140625" customWidth="1"/>
  </cols>
  <sheetData>
    <row r="1" spans="1:4" x14ac:dyDescent="0.3">
      <c r="A1" t="s">
        <v>0</v>
      </c>
      <c r="B1" t="s">
        <v>1</v>
      </c>
      <c r="C1" t="s">
        <v>3</v>
      </c>
      <c r="D1" t="s">
        <v>2</v>
      </c>
    </row>
    <row r="2" spans="1:4" x14ac:dyDescent="0.3">
      <c r="A2" t="s">
        <v>4</v>
      </c>
      <c r="B2">
        <v>450000</v>
      </c>
      <c r="C2">
        <v>320000</v>
      </c>
      <c r="D2">
        <v>130000</v>
      </c>
    </row>
    <row r="3" spans="1:4" x14ac:dyDescent="0.3">
      <c r="A3" t="s">
        <v>5</v>
      </c>
      <c r="B3">
        <v>480000</v>
      </c>
      <c r="C3">
        <v>340000</v>
      </c>
      <c r="D3">
        <v>140000</v>
      </c>
    </row>
    <row r="4" spans="1:4" x14ac:dyDescent="0.3">
      <c r="A4" t="s">
        <v>6</v>
      </c>
      <c r="B4">
        <v>420000</v>
      </c>
      <c r="C4">
        <v>310000</v>
      </c>
      <c r="D4">
        <v>110000</v>
      </c>
    </row>
    <row r="5" spans="1:4" x14ac:dyDescent="0.3">
      <c r="A5" t="s">
        <v>7</v>
      </c>
      <c r="B5">
        <v>510000</v>
      </c>
      <c r="C5">
        <v>360000</v>
      </c>
      <c r="D5">
        <v>150000</v>
      </c>
    </row>
    <row r="6" spans="1:4" x14ac:dyDescent="0.3">
      <c r="A6" t="s">
        <v>8</v>
      </c>
      <c r="B6">
        <v>490000</v>
      </c>
      <c r="C6">
        <v>350000</v>
      </c>
      <c r="D6">
        <v>140000</v>
      </c>
    </row>
    <row r="7" spans="1:4" x14ac:dyDescent="0.3">
      <c r="A7" t="s">
        <v>9</v>
      </c>
      <c r="B7">
        <v>530000</v>
      </c>
      <c r="C7">
        <v>370000</v>
      </c>
      <c r="D7">
        <v>160000</v>
      </c>
    </row>
    <row r="8" spans="1:4" x14ac:dyDescent="0.3">
      <c r="A8" t="s">
        <v>10</v>
      </c>
      <c r="B8">
        <v>475000</v>
      </c>
      <c r="C8">
        <v>345000</v>
      </c>
      <c r="D8">
        <v>130000</v>
      </c>
    </row>
    <row r="9" spans="1:4" x14ac:dyDescent="0.3">
      <c r="A9" t="s">
        <v>11</v>
      </c>
      <c r="B9">
        <v>520000</v>
      </c>
      <c r="C9">
        <v>365000</v>
      </c>
      <c r="D9">
        <v>155000</v>
      </c>
    </row>
    <row r="10" spans="1:4" x14ac:dyDescent="0.3">
      <c r="A10" t="s">
        <v>12</v>
      </c>
      <c r="B10">
        <v>560000</v>
      </c>
      <c r="C10">
        <v>385000</v>
      </c>
      <c r="D10">
        <v>175000</v>
      </c>
    </row>
    <row r="11" spans="1:4" x14ac:dyDescent="0.3">
      <c r="A11" t="s">
        <v>13</v>
      </c>
      <c r="B11">
        <v>540000</v>
      </c>
      <c r="C11">
        <v>375000</v>
      </c>
      <c r="D11">
        <v>165000</v>
      </c>
    </row>
    <row r="12" spans="1:4" x14ac:dyDescent="0.3">
      <c r="A12" t="s">
        <v>14</v>
      </c>
      <c r="B12">
        <v>580000</v>
      </c>
      <c r="C12">
        <v>400000</v>
      </c>
      <c r="D12">
        <v>180000</v>
      </c>
    </row>
    <row r="13" spans="1:4" x14ac:dyDescent="0.3">
      <c r="A13" t="s">
        <v>15</v>
      </c>
      <c r="B13">
        <v>620000</v>
      </c>
      <c r="C13">
        <v>420000</v>
      </c>
      <c r="D13">
        <v>200000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6A2E8-702B-4AFB-8D1D-EDC1A19FAE69}">
  <dimension ref="A1:B7"/>
  <sheetViews>
    <sheetView zoomScale="190" zoomScaleNormal="190" workbookViewId="0">
      <selection activeCell="N12" sqref="N12"/>
    </sheetView>
  </sheetViews>
  <sheetFormatPr defaultRowHeight="14.4" x14ac:dyDescent="0.3"/>
  <cols>
    <col min="1" max="1" width="14" customWidth="1"/>
    <col min="2" max="2" width="14.6640625" customWidth="1"/>
  </cols>
  <sheetData>
    <row r="1" spans="1:2" x14ac:dyDescent="0.3">
      <c r="A1" t="s">
        <v>16</v>
      </c>
      <c r="B1" t="s">
        <v>17</v>
      </c>
    </row>
    <row r="2" spans="1:2" x14ac:dyDescent="0.3">
      <c r="A2" t="s">
        <v>18</v>
      </c>
      <c r="B2">
        <v>145000</v>
      </c>
    </row>
    <row r="3" spans="1:2" x14ac:dyDescent="0.3">
      <c r="A3" t="s">
        <v>19</v>
      </c>
      <c r="B3">
        <v>45000</v>
      </c>
    </row>
    <row r="4" spans="1:2" x14ac:dyDescent="0.3">
      <c r="A4" t="s">
        <v>20</v>
      </c>
      <c r="B4">
        <v>38000</v>
      </c>
    </row>
    <row r="5" spans="1:2" x14ac:dyDescent="0.3">
      <c r="A5" t="s">
        <v>21</v>
      </c>
      <c r="B5">
        <v>520000</v>
      </c>
    </row>
    <row r="6" spans="1:2" x14ac:dyDescent="0.3">
      <c r="A6" t="s">
        <v>22</v>
      </c>
      <c r="B6">
        <v>22000</v>
      </c>
    </row>
    <row r="7" spans="1:2" x14ac:dyDescent="0.3">
      <c r="A7" t="s">
        <v>23</v>
      </c>
      <c r="B7">
        <v>18000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9EB62-E5B6-4ADB-BD56-441507936B6A}">
  <dimension ref="A1:M36"/>
  <sheetViews>
    <sheetView showGridLines="0" showRowColHeaders="0" tabSelected="1" zoomScale="79" zoomScaleNormal="70" workbookViewId="0">
      <selection activeCell="Z14" sqref="Z14"/>
    </sheetView>
  </sheetViews>
  <sheetFormatPr defaultRowHeight="14.4" x14ac:dyDescent="0.3"/>
  <cols>
    <col min="1" max="1" width="8.88671875" style="1"/>
    <col min="2" max="2" width="22.44140625" style="3" customWidth="1"/>
    <col min="3" max="3" width="4.44140625" style="3" customWidth="1"/>
    <col min="4" max="4" width="21.6640625" style="3" customWidth="1"/>
    <col min="5" max="5" width="4.5546875" style="3" customWidth="1"/>
    <col min="6" max="6" width="22.109375" style="3" customWidth="1"/>
    <col min="7" max="7" width="3.44140625" style="3" customWidth="1"/>
    <col min="8" max="8" width="21.88671875" style="3" customWidth="1"/>
    <col min="13" max="13" width="7.21875" customWidth="1"/>
  </cols>
  <sheetData>
    <row r="1" spans="1:13" ht="42" customHeight="1" x14ac:dyDescent="0.3">
      <c r="A1" s="9" t="s">
        <v>28</v>
      </c>
      <c r="B1" s="9"/>
      <c r="C1" s="9"/>
      <c r="D1" s="9"/>
      <c r="E1" s="9"/>
      <c r="F1" s="9"/>
      <c r="G1" s="9"/>
      <c r="H1" s="9"/>
    </row>
    <row r="2" spans="1:13" s="2" customFormat="1" ht="15.6" x14ac:dyDescent="0.3">
      <c r="B2" s="5" t="s">
        <v>24</v>
      </c>
      <c r="C2" s="6"/>
      <c r="D2" s="5" t="s">
        <v>25</v>
      </c>
      <c r="E2" s="6"/>
      <c r="F2" s="5" t="s">
        <v>26</v>
      </c>
      <c r="G2" s="6"/>
      <c r="H2" s="5" t="s">
        <v>27</v>
      </c>
    </row>
    <row r="3" spans="1:13" x14ac:dyDescent="0.3">
      <c r="B3" s="6">
        <f>SUM(Table2[Revenue])</f>
        <v>6175000</v>
      </c>
      <c r="D3" s="6">
        <f>SUM(Table2[Expenses])</f>
        <v>4340000</v>
      </c>
      <c r="F3" s="6">
        <f>SUM(Table2[Profit])</f>
        <v>1835000</v>
      </c>
      <c r="H3" s="6" t="str">
        <f>INDEX(Data!A2:A13,MATCH(MAX(Data!D2:D13),Data!D2:D13,0))</f>
        <v>Dec</v>
      </c>
      <c r="M3" s="7"/>
    </row>
    <row r="4" spans="1:13" x14ac:dyDescent="0.3">
      <c r="H4" s="4"/>
    </row>
    <row r="36" spans="2:8" ht="21" x14ac:dyDescent="0.3">
      <c r="B36" s="8" t="s">
        <v>29</v>
      </c>
      <c r="C36" s="8"/>
      <c r="D36" s="8"/>
      <c r="E36" s="8"/>
      <c r="F36" s="8"/>
      <c r="G36" s="8"/>
      <c r="H36" s="8"/>
    </row>
  </sheetData>
  <mergeCells count="2">
    <mergeCell ref="A1:H1"/>
    <mergeCell ref="B36:H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Category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THAKUR</dc:creator>
  <cp:lastModifiedBy>Shivam THAKUR</cp:lastModifiedBy>
  <dcterms:created xsi:type="dcterms:W3CDTF">2026-07-04T13:28:39Z</dcterms:created>
  <dcterms:modified xsi:type="dcterms:W3CDTF">2026-07-04T16:10:22Z</dcterms:modified>
</cp:coreProperties>
</file>